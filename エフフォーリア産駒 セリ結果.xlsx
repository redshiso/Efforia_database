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eff_app\"/>
    </mc:Choice>
  </mc:AlternateContent>
  <xr:revisionPtr revIDLastSave="0" documentId="13_ncr:1_{2BBC1B6E-B0DE-4921-B05F-00FE98E9147A}" xr6:coauthVersionLast="47" xr6:coauthVersionMax="47" xr10:uidLastSave="{00000000-0000-0000-0000-000000000000}"/>
  <bookViews>
    <workbookView xWindow="28680" yWindow="-120" windowWidth="29040" windowHeight="15720" xr2:uid="{2EAD33F1-2394-4654-94C6-8653E5CCB6C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2" i="1"/>
  <c r="I17" i="1"/>
  <c r="F24" i="1"/>
  <c r="C33" i="1"/>
  <c r="C10" i="1"/>
</calcChain>
</file>

<file path=xl/sharedStrings.xml><?xml version="1.0" encoding="utf-8"?>
<sst xmlns="http://schemas.openxmlformats.org/spreadsheetml/2006/main" count="111" uniqueCount="87">
  <si>
    <t>馬名</t>
    <rPh sb="0" eb="2">
      <t>バメイ</t>
    </rPh>
    <phoneticPr fontId="1"/>
  </si>
  <si>
    <t>チャイマックス24</t>
    <phoneticPr fontId="1"/>
  </si>
  <si>
    <t>シーソルティキッス24</t>
    <phoneticPr fontId="1"/>
  </si>
  <si>
    <t>ヒラボクウィン24</t>
    <phoneticPr fontId="1"/>
  </si>
  <si>
    <t>カゼルタ24</t>
    <phoneticPr fontId="1"/>
  </si>
  <si>
    <t>ダイワドレッサー24</t>
    <phoneticPr fontId="1"/>
  </si>
  <si>
    <t>リッスン24</t>
    <phoneticPr fontId="1"/>
  </si>
  <si>
    <t>落札額(万円)</t>
    <rPh sb="0" eb="3">
      <t>ラクサツガク</t>
    </rPh>
    <rPh sb="4" eb="6">
      <t>マンエン</t>
    </rPh>
    <phoneticPr fontId="1"/>
  </si>
  <si>
    <t>平均</t>
    <rPh sb="0" eb="2">
      <t>ヘイキン</t>
    </rPh>
    <phoneticPr fontId="1"/>
  </si>
  <si>
    <t>セレクトセール2024</t>
    <phoneticPr fontId="1"/>
  </si>
  <si>
    <t>セレクトセール2025</t>
    <phoneticPr fontId="1"/>
  </si>
  <si>
    <t>シェーングランツ24</t>
    <phoneticPr fontId="1"/>
  </si>
  <si>
    <t>ミディオーサ24</t>
    <phoneticPr fontId="1"/>
  </si>
  <si>
    <t>ローンリリー24</t>
    <phoneticPr fontId="1"/>
  </si>
  <si>
    <t>レガリニ24</t>
    <phoneticPr fontId="1"/>
  </si>
  <si>
    <t>フォーブス24</t>
    <phoneticPr fontId="1"/>
  </si>
  <si>
    <t>ラウブレック24</t>
    <phoneticPr fontId="1"/>
  </si>
  <si>
    <t>シャンティローザ24</t>
    <phoneticPr fontId="1"/>
  </si>
  <si>
    <t>デスティノアーラ24</t>
    <phoneticPr fontId="1"/>
  </si>
  <si>
    <t>マーケットレガシー24</t>
    <phoneticPr fontId="1"/>
  </si>
  <si>
    <t>ムーンフライト24</t>
    <phoneticPr fontId="1"/>
  </si>
  <si>
    <t>リリサイド24</t>
    <phoneticPr fontId="1"/>
  </si>
  <si>
    <t>ツクバビューティー25</t>
    <phoneticPr fontId="1"/>
  </si>
  <si>
    <t>クロトノーナ25</t>
    <phoneticPr fontId="1"/>
  </si>
  <si>
    <t>ジュリエットベール25</t>
    <phoneticPr fontId="1"/>
  </si>
  <si>
    <t>カリオストロ25</t>
    <phoneticPr fontId="1"/>
  </si>
  <si>
    <t>ソパーズレーン25</t>
    <phoneticPr fontId="1"/>
  </si>
  <si>
    <t>シングルゲイズ25</t>
    <phoneticPr fontId="1"/>
  </si>
  <si>
    <t>ブロセリアンド25</t>
    <phoneticPr fontId="1"/>
  </si>
  <si>
    <t>シーソルティキッス25</t>
    <phoneticPr fontId="1"/>
  </si>
  <si>
    <t>主取り</t>
    <rPh sb="0" eb="1">
      <t>ヌシ</t>
    </rPh>
    <rPh sb="1" eb="2">
      <t>ト</t>
    </rPh>
    <phoneticPr fontId="1"/>
  </si>
  <si>
    <t>セレクションセール2025</t>
    <phoneticPr fontId="1"/>
  </si>
  <si>
    <t>テルヌーラ24</t>
    <phoneticPr fontId="1"/>
  </si>
  <si>
    <t>プリンセスルーシー24</t>
    <phoneticPr fontId="1"/>
  </si>
  <si>
    <t>ナガラフラワー24</t>
    <phoneticPr fontId="1"/>
  </si>
  <si>
    <t>レディミスティファイ24</t>
    <phoneticPr fontId="1"/>
  </si>
  <si>
    <t>シャンデリアムーン24</t>
    <phoneticPr fontId="1"/>
  </si>
  <si>
    <t>カワイコチャン24</t>
    <phoneticPr fontId="1"/>
  </si>
  <si>
    <t>ブラーノ24</t>
    <phoneticPr fontId="1"/>
  </si>
  <si>
    <t>ディープビヨンド24</t>
    <phoneticPr fontId="1"/>
  </si>
  <si>
    <t>ルミナーラ24</t>
    <phoneticPr fontId="1"/>
  </si>
  <si>
    <t>アスワンサンセット24</t>
    <phoneticPr fontId="1"/>
  </si>
  <si>
    <t>シーサイドホーム24</t>
    <phoneticPr fontId="1"/>
  </si>
  <si>
    <t>フェアリーズ24</t>
    <phoneticPr fontId="1"/>
  </si>
  <si>
    <t>シェイリーンⅡ24</t>
    <phoneticPr fontId="1"/>
  </si>
  <si>
    <t>セルプランタン24</t>
    <phoneticPr fontId="1"/>
  </si>
  <si>
    <t>ラブローレル24</t>
    <phoneticPr fontId="1"/>
  </si>
  <si>
    <t>モーントバーン24</t>
    <phoneticPr fontId="1"/>
  </si>
  <si>
    <t>ブリスフルデイズ24</t>
    <phoneticPr fontId="1"/>
  </si>
  <si>
    <t>エバープリンセス24</t>
    <phoneticPr fontId="1"/>
  </si>
  <si>
    <t>ステラマドレード24</t>
    <phoneticPr fontId="1"/>
  </si>
  <si>
    <t>モルトフェリーチェ24</t>
    <phoneticPr fontId="1"/>
  </si>
  <si>
    <t>主取り</t>
    <rPh sb="0" eb="2">
      <t>ヌシト</t>
    </rPh>
    <phoneticPr fontId="1"/>
  </si>
  <si>
    <t>サマーセール2025</t>
    <phoneticPr fontId="1"/>
  </si>
  <si>
    <t>シルヴィーボーテ24</t>
    <phoneticPr fontId="1"/>
  </si>
  <si>
    <t>デルマシャンパン24</t>
    <phoneticPr fontId="1"/>
  </si>
  <si>
    <t>ニシノプレジール24</t>
    <phoneticPr fontId="1"/>
  </si>
  <si>
    <t>アンビータブル24</t>
    <phoneticPr fontId="1"/>
  </si>
  <si>
    <t>ソリッドリーズン24</t>
    <phoneticPr fontId="1"/>
  </si>
  <si>
    <t>マダムストーリー24</t>
    <phoneticPr fontId="1"/>
  </si>
  <si>
    <t>エレンシア24</t>
    <phoneticPr fontId="1"/>
  </si>
  <si>
    <t>タニオブフェーブル24</t>
    <phoneticPr fontId="1"/>
  </si>
  <si>
    <t>ダイワネーブル24</t>
    <phoneticPr fontId="1"/>
  </si>
  <si>
    <t>ラントルナ24</t>
    <phoneticPr fontId="1"/>
  </si>
  <si>
    <t>ステップビヨンド24</t>
    <phoneticPr fontId="1"/>
  </si>
  <si>
    <t>アドヴェンチャレス24</t>
    <phoneticPr fontId="1"/>
  </si>
  <si>
    <t>フィールグリュック24</t>
    <phoneticPr fontId="1"/>
  </si>
  <si>
    <t>セプテンバーセール2025</t>
    <phoneticPr fontId="1"/>
  </si>
  <si>
    <t>ディーズローリエ24</t>
    <phoneticPr fontId="1"/>
  </si>
  <si>
    <t>ビヴァレッジクイーン24</t>
    <phoneticPr fontId="1"/>
  </si>
  <si>
    <t>ブロンシェダーム24</t>
    <phoneticPr fontId="1"/>
  </si>
  <si>
    <t>グリュレーヴ24</t>
    <phoneticPr fontId="1"/>
  </si>
  <si>
    <t>サトノオニキス24</t>
    <phoneticPr fontId="1"/>
  </si>
  <si>
    <t>ベラポーサ24</t>
    <phoneticPr fontId="1"/>
  </si>
  <si>
    <t>欠場</t>
    <rPh sb="0" eb="2">
      <t>ケツジョウ</t>
    </rPh>
    <phoneticPr fontId="1"/>
  </si>
  <si>
    <t>ミックスセール2025</t>
    <phoneticPr fontId="1"/>
  </si>
  <si>
    <t>ミックスセール2024</t>
    <phoneticPr fontId="1"/>
  </si>
  <si>
    <t>キャレモンショコラ24</t>
    <phoneticPr fontId="1"/>
  </si>
  <si>
    <t>ウォークロニクル24</t>
    <phoneticPr fontId="1"/>
  </si>
  <si>
    <t>※価格は税抜き</t>
    <rPh sb="1" eb="3">
      <t>カカク</t>
    </rPh>
    <rPh sb="4" eb="6">
      <t>ゼイヌ</t>
    </rPh>
    <phoneticPr fontId="1"/>
  </si>
  <si>
    <t>シャヴァーサナ25</t>
    <phoneticPr fontId="1"/>
  </si>
  <si>
    <t>エスケイプクローズ25</t>
    <phoneticPr fontId="1"/>
  </si>
  <si>
    <t>ブリーズアップセール2026</t>
    <phoneticPr fontId="1"/>
  </si>
  <si>
    <t>馬名</t>
    <rPh sb="0" eb="2">
      <t>バメイ</t>
    </rPh>
    <phoneticPr fontId="1"/>
  </si>
  <si>
    <t>落札額(万円)</t>
    <rPh sb="0" eb="3">
      <t>ラクサツガク</t>
    </rPh>
    <rPh sb="4" eb="6">
      <t>マンエン</t>
    </rPh>
    <phoneticPr fontId="1"/>
  </si>
  <si>
    <t>ディープビヨンド24</t>
    <phoneticPr fontId="1"/>
  </si>
  <si>
    <t>平均</t>
    <rPh sb="0" eb="2">
      <t>ヘイキン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</si>
</sst>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D デジタル 教科書体 N"/>
      <family val="1"/>
      <charset val="128"/>
    </font>
    <font>
      <sz val="11"/>
      <color rgb="FFFF0000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2" fillId="3" borderId="1" xfId="0" applyFont="1" applyFill="1" applyBorder="1">
      <alignment vertical="center"/>
    </xf>
    <xf numFmtId="0" fontId="0" fillId="3" borderId="1" xfId="0" applyFill="1" applyBorder="1">
      <alignment vertical="center"/>
    </xf>
    <xf numFmtId="0" fontId="2" fillId="3" borderId="2" xfId="0" applyFont="1" applyFill="1" applyBorder="1">
      <alignment vertical="center"/>
    </xf>
    <xf numFmtId="0" fontId="0" fillId="3" borderId="2" xfId="0" applyFill="1" applyBorder="1">
      <alignment vertical="center"/>
    </xf>
    <xf numFmtId="0" fontId="2" fillId="2" borderId="2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0" fillId="4" borderId="2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2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2" xfId="0" applyFill="1" applyBorder="1">
      <alignment vertical="center"/>
    </xf>
    <xf numFmtId="0" fontId="3" fillId="0" borderId="0" xfId="0" applyFont="1">
      <alignment vertical="center"/>
    </xf>
    <xf numFmtId="0" fontId="0" fillId="7" borderId="1" xfId="0" applyFill="1" applyBorder="1">
      <alignment vertical="center"/>
    </xf>
    <xf numFmtId="0" fontId="0" fillId="7" borderId="2" xfId="0" applyFill="1" applyBorder="1">
      <alignment vertical="center"/>
    </xf>
    <xf numFmtId="0" fontId="0" fillId="0" borderId="5" xfId="0" applyFill="1" applyBorder="1">
      <alignment vertical="center"/>
    </xf>
    <xf numFmtId="0" fontId="0" fillId="0" borderId="3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8E629-FE53-4277-BD8E-F46D47DEF395}">
  <dimension ref="B1:O33"/>
  <sheetViews>
    <sheetView tabSelected="1" zoomScale="86" workbookViewId="0">
      <selection activeCell="N18" sqref="N18"/>
    </sheetView>
  </sheetViews>
  <sheetFormatPr defaultRowHeight="18" x14ac:dyDescent="0.55000000000000004"/>
  <cols>
    <col min="1" max="1" width="4.25" customWidth="1"/>
    <col min="2" max="2" width="19.4140625" customWidth="1"/>
    <col min="3" max="3" width="11.4140625" customWidth="1"/>
    <col min="4" max="4" width="4.83203125" customWidth="1"/>
    <col min="5" max="5" width="21.1640625" customWidth="1"/>
    <col min="6" max="6" width="11.58203125" customWidth="1"/>
    <col min="7" max="7" width="4.4140625" customWidth="1"/>
    <col min="8" max="8" width="19.83203125" customWidth="1"/>
    <col min="9" max="9" width="12.5" customWidth="1"/>
    <col min="10" max="10" width="4.5" customWidth="1"/>
    <col min="11" max="11" width="22.25" customWidth="1"/>
    <col min="12" max="12" width="11.83203125" customWidth="1"/>
    <col min="13" max="13" width="4.6640625" customWidth="1"/>
    <col min="14" max="14" width="22.25" customWidth="1"/>
    <col min="15" max="15" width="12" customWidth="1"/>
  </cols>
  <sheetData>
    <row r="1" spans="2:15" x14ac:dyDescent="0.55000000000000004">
      <c r="B1" s="18" t="s">
        <v>79</v>
      </c>
    </row>
    <row r="2" spans="2:15" x14ac:dyDescent="0.55000000000000004">
      <c r="B2" s="7" t="s">
        <v>9</v>
      </c>
      <c r="C2" s="9"/>
      <c r="D2" s="1"/>
      <c r="E2" s="2" t="s">
        <v>31</v>
      </c>
      <c r="F2" s="11"/>
      <c r="G2" s="1"/>
      <c r="H2" s="12" t="s">
        <v>53</v>
      </c>
      <c r="I2" s="13"/>
      <c r="K2" s="14" t="s">
        <v>67</v>
      </c>
      <c r="L2" s="15"/>
      <c r="N2" s="16" t="s">
        <v>76</v>
      </c>
      <c r="O2" s="17"/>
    </row>
    <row r="3" spans="2:15" x14ac:dyDescent="0.55000000000000004">
      <c r="B3" s="3" t="s">
        <v>0</v>
      </c>
      <c r="C3" s="4" t="s">
        <v>7</v>
      </c>
      <c r="E3" s="3" t="s">
        <v>0</v>
      </c>
      <c r="F3" s="4" t="s">
        <v>7</v>
      </c>
      <c r="H3" s="3" t="s">
        <v>0</v>
      </c>
      <c r="I3" s="4" t="s">
        <v>7</v>
      </c>
      <c r="K3" s="3" t="s">
        <v>0</v>
      </c>
      <c r="L3" s="4" t="s">
        <v>7</v>
      </c>
      <c r="N3" s="3" t="s">
        <v>0</v>
      </c>
      <c r="O3" s="4" t="s">
        <v>7</v>
      </c>
    </row>
    <row r="4" spans="2:15" x14ac:dyDescent="0.55000000000000004">
      <c r="B4" s="3" t="s">
        <v>1</v>
      </c>
      <c r="C4" s="4">
        <v>7800</v>
      </c>
      <c r="E4" s="3" t="s">
        <v>32</v>
      </c>
      <c r="F4" s="4">
        <v>2000</v>
      </c>
      <c r="H4" s="3" t="s">
        <v>54</v>
      </c>
      <c r="I4" s="4">
        <v>500</v>
      </c>
      <c r="K4" s="3" t="s">
        <v>68</v>
      </c>
      <c r="L4" s="4">
        <v>300</v>
      </c>
      <c r="N4" s="3" t="s">
        <v>77</v>
      </c>
      <c r="O4" s="4">
        <v>3700</v>
      </c>
    </row>
    <row r="5" spans="2:15" x14ac:dyDescent="0.55000000000000004">
      <c r="B5" s="3" t="s">
        <v>2</v>
      </c>
      <c r="C5" s="4">
        <v>5200</v>
      </c>
      <c r="E5" s="3" t="s">
        <v>33</v>
      </c>
      <c r="F5" s="4">
        <v>1200</v>
      </c>
      <c r="H5" s="3" t="s">
        <v>55</v>
      </c>
      <c r="I5" s="4">
        <v>880</v>
      </c>
      <c r="K5" s="3" t="s">
        <v>69</v>
      </c>
      <c r="L5" s="4">
        <v>720</v>
      </c>
      <c r="N5" s="3" t="s">
        <v>78</v>
      </c>
      <c r="O5" s="4">
        <v>4700</v>
      </c>
    </row>
    <row r="6" spans="2:15" x14ac:dyDescent="0.55000000000000004">
      <c r="B6" s="3" t="s">
        <v>3</v>
      </c>
      <c r="C6" s="4">
        <v>4800</v>
      </c>
      <c r="E6" s="3" t="s">
        <v>34</v>
      </c>
      <c r="F6" s="4">
        <v>1200</v>
      </c>
      <c r="H6" s="3" t="s">
        <v>56</v>
      </c>
      <c r="I6" s="4">
        <v>840</v>
      </c>
      <c r="K6" s="3" t="s">
        <v>70</v>
      </c>
      <c r="L6" s="4">
        <v>2200</v>
      </c>
      <c r="N6" s="5" t="s">
        <v>8</v>
      </c>
      <c r="O6" s="6">
        <v>4200</v>
      </c>
    </row>
    <row r="7" spans="2:15" x14ac:dyDescent="0.55000000000000004">
      <c r="B7" s="3" t="s">
        <v>4</v>
      </c>
      <c r="C7" s="4">
        <v>4900</v>
      </c>
      <c r="E7" s="3" t="s">
        <v>35</v>
      </c>
      <c r="F7" s="4">
        <v>5000</v>
      </c>
      <c r="H7" s="3" t="s">
        <v>57</v>
      </c>
      <c r="I7" s="4">
        <v>450</v>
      </c>
      <c r="K7" s="3" t="s">
        <v>71</v>
      </c>
      <c r="L7" s="4">
        <v>410</v>
      </c>
    </row>
    <row r="8" spans="2:15" x14ac:dyDescent="0.55000000000000004">
      <c r="B8" s="3" t="s">
        <v>5</v>
      </c>
      <c r="C8" s="4">
        <v>3600</v>
      </c>
      <c r="E8" s="3" t="s">
        <v>36</v>
      </c>
      <c r="F8" s="4">
        <v>1300</v>
      </c>
      <c r="H8" s="3" t="s">
        <v>58</v>
      </c>
      <c r="I8" s="4">
        <v>1150</v>
      </c>
      <c r="K8" s="3" t="s">
        <v>72</v>
      </c>
      <c r="L8" s="4">
        <v>2100</v>
      </c>
      <c r="N8" s="16" t="s">
        <v>75</v>
      </c>
      <c r="O8" s="17"/>
    </row>
    <row r="9" spans="2:15" x14ac:dyDescent="0.55000000000000004">
      <c r="B9" s="3" t="s">
        <v>6</v>
      </c>
      <c r="C9" s="4">
        <v>12000</v>
      </c>
      <c r="E9" s="3" t="s">
        <v>37</v>
      </c>
      <c r="F9" s="4">
        <v>600</v>
      </c>
      <c r="H9" s="3" t="s">
        <v>59</v>
      </c>
      <c r="I9" s="4">
        <v>300</v>
      </c>
      <c r="K9" s="3" t="s">
        <v>73</v>
      </c>
      <c r="L9" s="4" t="s">
        <v>74</v>
      </c>
      <c r="N9" s="3" t="s">
        <v>0</v>
      </c>
      <c r="O9" s="4" t="s">
        <v>7</v>
      </c>
    </row>
    <row r="10" spans="2:15" x14ac:dyDescent="0.55000000000000004">
      <c r="B10" s="5" t="s">
        <v>8</v>
      </c>
      <c r="C10" s="6">
        <f xml:space="preserve"> AVERAGE(C4:C9)</f>
        <v>6383.333333333333</v>
      </c>
      <c r="E10" s="3" t="s">
        <v>38</v>
      </c>
      <c r="F10" s="4">
        <v>3900</v>
      </c>
      <c r="H10" s="3" t="s">
        <v>60</v>
      </c>
      <c r="I10" s="4">
        <v>350</v>
      </c>
      <c r="K10" s="3" t="s">
        <v>51</v>
      </c>
      <c r="L10" s="4">
        <v>1000</v>
      </c>
      <c r="N10" s="3" t="s">
        <v>81</v>
      </c>
      <c r="O10" s="4">
        <v>6000</v>
      </c>
    </row>
    <row r="11" spans="2:15" x14ac:dyDescent="0.55000000000000004">
      <c r="E11" s="3" t="s">
        <v>39</v>
      </c>
      <c r="F11" s="4">
        <v>1000</v>
      </c>
      <c r="H11" s="3" t="s">
        <v>61</v>
      </c>
      <c r="I11" s="4">
        <v>620</v>
      </c>
      <c r="K11" s="3" t="s">
        <v>45</v>
      </c>
      <c r="L11" s="4">
        <v>380</v>
      </c>
      <c r="N11" s="3" t="s">
        <v>80</v>
      </c>
      <c r="O11" s="4">
        <v>6800</v>
      </c>
    </row>
    <row r="12" spans="2:15" x14ac:dyDescent="0.55000000000000004">
      <c r="B12" s="8" t="s">
        <v>10</v>
      </c>
      <c r="C12" s="10"/>
      <c r="E12" s="3" t="s">
        <v>40</v>
      </c>
      <c r="F12" s="4">
        <v>2100</v>
      </c>
      <c r="H12" s="3" t="s">
        <v>62</v>
      </c>
      <c r="I12" s="4">
        <v>650</v>
      </c>
      <c r="K12" s="5" t="s">
        <v>8</v>
      </c>
      <c r="L12" s="6">
        <f xml:space="preserve"> AVERAGE(L4:L11)</f>
        <v>1015.7142857142857</v>
      </c>
      <c r="N12" s="5" t="s">
        <v>8</v>
      </c>
      <c r="O12" s="6">
        <v>6400</v>
      </c>
    </row>
    <row r="13" spans="2:15" x14ac:dyDescent="0.55000000000000004">
      <c r="B13" s="3"/>
      <c r="C13" s="4" t="s">
        <v>7</v>
      </c>
      <c r="E13" s="3" t="s">
        <v>41</v>
      </c>
      <c r="F13" s="4">
        <v>650</v>
      </c>
      <c r="H13" s="3" t="s">
        <v>63</v>
      </c>
      <c r="I13" s="4">
        <v>770</v>
      </c>
    </row>
    <row r="14" spans="2:15" x14ac:dyDescent="0.55000000000000004">
      <c r="B14" s="3" t="s">
        <v>12</v>
      </c>
      <c r="C14" s="4">
        <v>9200</v>
      </c>
      <c r="E14" s="3" t="s">
        <v>42</v>
      </c>
      <c r="F14" s="4">
        <v>800</v>
      </c>
      <c r="H14" s="3" t="s">
        <v>64</v>
      </c>
      <c r="I14" s="4">
        <v>1100</v>
      </c>
      <c r="K14" s="19" t="s">
        <v>82</v>
      </c>
      <c r="L14" s="20"/>
    </row>
    <row r="15" spans="2:15" x14ac:dyDescent="0.55000000000000004">
      <c r="B15" s="3" t="s">
        <v>11</v>
      </c>
      <c r="C15" s="4">
        <v>7800</v>
      </c>
      <c r="E15" s="3" t="s">
        <v>43</v>
      </c>
      <c r="F15" s="4" t="s">
        <v>30</v>
      </c>
      <c r="H15" s="3" t="s">
        <v>65</v>
      </c>
      <c r="I15" s="4">
        <v>500</v>
      </c>
      <c r="K15" s="3" t="s">
        <v>83</v>
      </c>
      <c r="L15" s="4" t="s">
        <v>84</v>
      </c>
    </row>
    <row r="16" spans="2:15" x14ac:dyDescent="0.55000000000000004">
      <c r="B16" s="3" t="s">
        <v>13</v>
      </c>
      <c r="C16" s="4">
        <v>3700</v>
      </c>
      <c r="E16" s="3" t="s">
        <v>44</v>
      </c>
      <c r="F16" s="4">
        <v>1000</v>
      </c>
      <c r="H16" s="3" t="s">
        <v>66</v>
      </c>
      <c r="I16" s="4">
        <v>710</v>
      </c>
      <c r="K16" s="3" t="s">
        <v>32</v>
      </c>
      <c r="L16" s="4">
        <v>1650</v>
      </c>
    </row>
    <row r="17" spans="2:12" x14ac:dyDescent="0.55000000000000004">
      <c r="B17" s="3" t="s">
        <v>14</v>
      </c>
      <c r="C17" s="4">
        <v>2500</v>
      </c>
      <c r="E17" s="3" t="s">
        <v>45</v>
      </c>
      <c r="F17" s="4" t="s">
        <v>52</v>
      </c>
      <c r="H17" s="5" t="s">
        <v>8</v>
      </c>
      <c r="I17" s="6">
        <f xml:space="preserve"> AVERAGE(I3:I16)</f>
        <v>678.46153846153845</v>
      </c>
      <c r="K17" s="3" t="s">
        <v>33</v>
      </c>
      <c r="L17" s="4">
        <v>530</v>
      </c>
    </row>
    <row r="18" spans="2:12" x14ac:dyDescent="0.55000000000000004">
      <c r="B18" s="3" t="s">
        <v>15</v>
      </c>
      <c r="C18" s="4">
        <v>7200</v>
      </c>
      <c r="E18" s="3" t="s">
        <v>46</v>
      </c>
      <c r="F18" s="4">
        <v>800</v>
      </c>
      <c r="K18" s="22" t="s">
        <v>85</v>
      </c>
      <c r="L18" s="4">
        <v>2400</v>
      </c>
    </row>
    <row r="19" spans="2:12" x14ac:dyDescent="0.55000000000000004">
      <c r="B19" s="3" t="s">
        <v>16</v>
      </c>
      <c r="C19" s="4">
        <v>1300</v>
      </c>
      <c r="E19" s="3" t="s">
        <v>47</v>
      </c>
      <c r="F19" s="4">
        <v>1050</v>
      </c>
      <c r="K19" s="21" t="s">
        <v>86</v>
      </c>
      <c r="L19" s="6">
        <f>AVERAGE(L16:L18)</f>
        <v>1526.6666666666667</v>
      </c>
    </row>
    <row r="20" spans="2:12" x14ac:dyDescent="0.55000000000000004">
      <c r="B20" s="3" t="s">
        <v>17</v>
      </c>
      <c r="C20" s="4">
        <v>4400</v>
      </c>
      <c r="E20" s="3" t="s">
        <v>48</v>
      </c>
      <c r="F20" s="4">
        <v>850</v>
      </c>
    </row>
    <row r="21" spans="2:12" x14ac:dyDescent="0.55000000000000004">
      <c r="B21" s="3" t="s">
        <v>18</v>
      </c>
      <c r="C21" s="4">
        <v>1800</v>
      </c>
      <c r="E21" s="3" t="s">
        <v>49</v>
      </c>
      <c r="F21" s="4">
        <v>1200</v>
      </c>
    </row>
    <row r="22" spans="2:12" x14ac:dyDescent="0.55000000000000004">
      <c r="B22" s="3" t="s">
        <v>19</v>
      </c>
      <c r="C22" s="4">
        <v>3100</v>
      </c>
      <c r="E22" s="3" t="s">
        <v>50</v>
      </c>
      <c r="F22" s="4" t="s">
        <v>52</v>
      </c>
    </row>
    <row r="23" spans="2:12" x14ac:dyDescent="0.55000000000000004">
      <c r="B23" s="3" t="s">
        <v>20</v>
      </c>
      <c r="C23" s="4">
        <v>2100</v>
      </c>
      <c r="E23" s="3" t="s">
        <v>51</v>
      </c>
      <c r="F23" s="4" t="s">
        <v>52</v>
      </c>
    </row>
    <row r="24" spans="2:12" x14ac:dyDescent="0.55000000000000004">
      <c r="B24" s="3" t="s">
        <v>21</v>
      </c>
      <c r="C24" s="4">
        <v>17000</v>
      </c>
      <c r="E24" s="5" t="s">
        <v>8</v>
      </c>
      <c r="F24" s="6">
        <f xml:space="preserve"> AVERAGE(F4:F21)</f>
        <v>1540.625</v>
      </c>
    </row>
    <row r="25" spans="2:12" x14ac:dyDescent="0.55000000000000004">
      <c r="B25" s="3" t="s">
        <v>22</v>
      </c>
      <c r="C25" s="4">
        <v>1300</v>
      </c>
    </row>
    <row r="26" spans="2:12" x14ac:dyDescent="0.55000000000000004">
      <c r="B26" s="3" t="s">
        <v>23</v>
      </c>
      <c r="C26" s="4">
        <v>7400</v>
      </c>
    </row>
    <row r="27" spans="2:12" x14ac:dyDescent="0.55000000000000004">
      <c r="B27" s="3" t="s">
        <v>24</v>
      </c>
      <c r="C27" s="4">
        <v>4600</v>
      </c>
    </row>
    <row r="28" spans="2:12" x14ac:dyDescent="0.55000000000000004">
      <c r="B28" s="3" t="s">
        <v>25</v>
      </c>
      <c r="C28" s="4">
        <v>1500</v>
      </c>
    </row>
    <row r="29" spans="2:12" x14ac:dyDescent="0.55000000000000004">
      <c r="B29" s="3" t="s">
        <v>26</v>
      </c>
      <c r="C29" s="4">
        <v>14000</v>
      </c>
    </row>
    <row r="30" spans="2:12" x14ac:dyDescent="0.55000000000000004">
      <c r="B30" s="3" t="s">
        <v>27</v>
      </c>
      <c r="C30" s="4">
        <v>5800</v>
      </c>
    </row>
    <row r="31" spans="2:12" x14ac:dyDescent="0.55000000000000004">
      <c r="B31" s="3" t="s">
        <v>28</v>
      </c>
      <c r="C31" s="4" t="s">
        <v>30</v>
      </c>
    </row>
    <row r="32" spans="2:12" x14ac:dyDescent="0.55000000000000004">
      <c r="B32" s="3" t="s">
        <v>29</v>
      </c>
      <c r="C32" s="4">
        <v>3200</v>
      </c>
    </row>
    <row r="33" spans="2:3" x14ac:dyDescent="0.55000000000000004">
      <c r="B33" s="5" t="s">
        <v>8</v>
      </c>
      <c r="C33" s="6">
        <f xml:space="preserve"> AVERAGE(C14:C32)</f>
        <v>5438.8888888888887</v>
      </c>
    </row>
  </sheetData>
  <mergeCells count="1">
    <mergeCell ref="K14:L14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ケイイチ シモヤマ</dc:creator>
  <cp:lastModifiedBy>ケイイチ シモヤマ</cp:lastModifiedBy>
  <dcterms:created xsi:type="dcterms:W3CDTF">2025-11-15T16:27:05Z</dcterms:created>
  <dcterms:modified xsi:type="dcterms:W3CDTF">2026-05-01T12:29:33Z</dcterms:modified>
</cp:coreProperties>
</file>